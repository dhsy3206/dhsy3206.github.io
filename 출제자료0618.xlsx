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앱개발\DRM_AI와 올인원설명서제작용\"/>
    </mc:Choice>
  </mc:AlternateContent>
  <xr:revisionPtr revIDLastSave="0" documentId="13_ncr:1_{C8EDBE86-7587-42E0-A0AD-1E34710CBACE}" xr6:coauthVersionLast="47" xr6:coauthVersionMax="47" xr10:uidLastSave="{00000000-0000-0000-0000-000000000000}"/>
  <bookViews>
    <workbookView xWindow="-110" yWindow="-110" windowWidth="25820" windowHeight="15500" activeTab="2" xr2:uid="{05E957EE-D1AB-4874-928C-D2A218972CA1}"/>
  </bookViews>
  <sheets>
    <sheet name="문제생성" sheetId="2" r:id="rId1"/>
    <sheet name="문항 형태" sheetId="3" r:id="rId2"/>
    <sheet name="추가프롬프트만들기" sheetId="4" r:id="rId3"/>
  </sheets>
  <definedNames>
    <definedName name="_xlnm._FilterDatabase" localSheetId="0" hidden="1">문제생성!$A$1:$O$26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4" l="1"/>
  <c r="H4" i="4"/>
  <c r="H5" i="4"/>
  <c r="H6" i="4"/>
  <c r="H7" i="4"/>
  <c r="H8" i="4"/>
  <c r="H9" i="4"/>
  <c r="H10" i="4"/>
  <c r="H11" i="4"/>
  <c r="H12" i="4"/>
  <c r="H13" i="4"/>
  <c r="H14" i="4"/>
  <c r="H15" i="4"/>
  <c r="H16" i="4"/>
  <c r="H17" i="4"/>
  <c r="H18" i="4"/>
  <c r="H19" i="4"/>
  <c r="H20" i="4"/>
  <c r="H21" i="4"/>
  <c r="H2" i="4"/>
  <c r="O5" i="4"/>
  <c r="N5" i="4"/>
  <c r="M5" i="4"/>
  <c r="L5" i="4"/>
  <c r="K5" i="4"/>
  <c r="L2" i="4"/>
  <c r="M2" i="4"/>
  <c r="K2" i="4"/>
  <c r="J2" i="4" l="1"/>
  <c r="J5" i="4"/>
</calcChain>
</file>

<file path=xl/sharedStrings.xml><?xml version="1.0" encoding="utf-8"?>
<sst xmlns="http://schemas.openxmlformats.org/spreadsheetml/2006/main" count="175" uniqueCount="87">
  <si>
    <t>번호</t>
    <phoneticPr fontId="5" type="noConversion"/>
  </si>
  <si>
    <t>주제</t>
    <phoneticPr fontId="5" type="noConversion"/>
  </si>
  <si>
    <t>교과경로</t>
    <phoneticPr fontId="5" type="noConversion"/>
  </si>
  <si>
    <t>문제경로1</t>
    <phoneticPr fontId="5" type="noConversion"/>
  </si>
  <si>
    <t>문제경로2</t>
    <phoneticPr fontId="5" type="noConversion"/>
  </si>
  <si>
    <t>추가 프롬프트2</t>
    <phoneticPr fontId="5" type="noConversion"/>
  </si>
  <si>
    <t>문항</t>
    <phoneticPr fontId="5" type="noConversion"/>
  </si>
  <si>
    <t>국내총생산</t>
    <phoneticPr fontId="6" type="noConversion"/>
  </si>
  <si>
    <t>문항 형태 설명</t>
  </si>
  <si>
    <t>C:\Users\nayun\Desktop\2026_2학년사회\사회 ②(강창숙)_교과자료모음\단원별 자료\Ⅳ. 우리나라 경제와 세계화\01. 경제 성장과 국내 총생산\수업 자료\[비상교육] 중학_사회 ②_4-1_교사용 교과서.pdf</t>
  </si>
  <si>
    <t>C:\Users\nayun\Pictures\Screenshots\{CCC2A9F9-F349-4471-8636-35262EB010AD}.png</t>
  </si>
  <si>
    <t>대화/토론형 (Dialogue/Debate): 갑, 을, 병(또는 교사와 학생)이 특정 주제에 대해 의견을 나누는 형태</t>
  </si>
  <si>
    <t>일기/기행문/편지형 (Diary/Journal): 특정 지역을 여행하거나 특정 사건을 겪은 후 작성한 개인의 기록 형태</t>
  </si>
  <si>
    <t>신문 기사/뉴스 보도형 (News Report): 실제 있을 법한 사회적 이슈나 법적 사건을 객관적인 기사 톤으로 제시하는 형태</t>
  </si>
  <si>
    <t>사례/스토리 제시형 (Case Study): 일상생활에서 벌어지는 구체적인 사건이나 갈등 상황을 짧은 이야기로 제시하는 형태</t>
  </si>
  <si>
    <t>가상 인터뷰/강연형 (Interview/Speech): 전문가, 역사적 인물, 가상의 정치인 등과의 인터뷰나 연설문 발췌본을 제시하는 형태</t>
  </si>
  <si>
    <t>SNS 게시물/댓글형 (Social Media): 인스타그램, 페이스북 등의 게시물과 그 아래 달린 사람들의 찬반 댓글을 분석하는 형태</t>
  </si>
  <si>
    <t>메신저 대화형 (Chat/Messenger): 카카오톡 같은 모바일 메신저 창에서 친구들이나 가족이 대화하는 화면을 묘사하는 형태</t>
  </si>
  <si>
    <t>온라인 커뮤니티/Q&amp;A 게시판형 (Forum): 지식인이나 학교 게시판에 고민이나 질문을 올리고, 그에 대한 답변이 달린 형태</t>
  </si>
  <si>
    <t>시각 자료를 사용하며, 마크다운 표나 이미지 생성 프롬프트가 필요한 형태</t>
  </si>
  <si>
    <t>지도 분석형 (Map): 세계 지도나 국가 지도를 제시하고 A, B, C 지역의 특징을 묻는 형태</t>
  </si>
  <si>
    <t>통계 표/그래프형 (Table/Chart): 그래프를 제시하고 수치를 해석하는 형태</t>
  </si>
  <si>
    <t>모식도/개념도형 (Diagram): 화살표와 박스로 나타낸 다이어그램 형태</t>
  </si>
  <si>
    <t>&lt;보기&gt; 나열형: 글상자 안에 ㄱ, ㄴ, ㄷ, ㄹ 4개의 명제를 나열하고 맞는 것끼리 짝지은 것을 고르는 형태</t>
  </si>
  <si>
    <t>빈칸 추론형 (A, B / 가, 나): 긴 지문이나 자료의 핵심 개념어 자리를 뚫어놓고 (가), (나)에 들어갈 알맞은 말을 묻는 형태</t>
  </si>
  <si>
    <t>마인드맵/마름모 분류형: 예/아니오 질문을 따라가며 최종 도착지(A~D)에 해당하는 개념을 찾는 알고리즘 형태</t>
  </si>
  <si>
    <t>[내용영역]</t>
    <phoneticPr fontId="5" type="noConversion"/>
  </si>
  <si>
    <t>[발문 유형]</t>
    <phoneticPr fontId="5" type="noConversion"/>
  </si>
  <si>
    <t>[문항 유형]</t>
    <phoneticPr fontId="5" type="noConversion"/>
  </si>
  <si>
    <t>[난이도]</t>
    <phoneticPr fontId="5" type="noConversion"/>
  </si>
  <si>
    <t>[정답]</t>
    <phoneticPr fontId="5" type="noConversion"/>
  </si>
  <si>
    <t>논1</t>
    <phoneticPr fontId="5" type="noConversion"/>
  </si>
  <si>
    <t>논2</t>
  </si>
  <si>
    <t>논3</t>
  </si>
  <si>
    <t>논4</t>
  </si>
  <si>
    <t>논5</t>
  </si>
  <si>
    <t>상</t>
    <phoneticPr fontId="5" type="noConversion"/>
  </si>
  <si>
    <t>정답형태</t>
    <phoneticPr fontId="5" type="noConversion"/>
  </si>
  <si>
    <t>①</t>
  </si>
  <si>
    <t>②</t>
    <phoneticPr fontId="5" type="noConversion"/>
  </si>
  <si>
    <t>③</t>
    <phoneticPr fontId="5" type="noConversion"/>
  </si>
  <si>
    <t>④</t>
    <phoneticPr fontId="5" type="noConversion"/>
  </si>
  <si>
    <t>⑤</t>
    <phoneticPr fontId="5" type="noConversion"/>
  </si>
  <si>
    <t>추가 프롬프트</t>
    <phoneticPr fontId="5" type="noConversion"/>
  </si>
  <si>
    <t>난이도</t>
    <phoneticPr fontId="5" type="noConversion"/>
  </si>
  <si>
    <t>중</t>
  </si>
  <si>
    <t>중</t>
    <phoneticPr fontId="5" type="noConversion"/>
  </si>
  <si>
    <t>하</t>
    <phoneticPr fontId="5" type="noConversion"/>
  </si>
  <si>
    <t>정답</t>
    <phoneticPr fontId="5" type="noConversion"/>
  </si>
  <si>
    <t>①</t>
    <phoneticPr fontId="5" type="noConversion"/>
  </si>
  <si>
    <t>개념 설명형 문제</t>
  </si>
  <si>
    <t>[점수]</t>
    <phoneticPr fontId="5" type="noConversion"/>
  </si>
  <si>
    <t>[내용영역]은 경제 성장에 관한 것, [발문 유형]은 일반, [문항 유형]은 '개념 설명형 문제'를 적용하여 [점수] 2점, [난이도] 중 수준의 문제를 만들어줘. [정답]은 ①번이 되도록 구성해줘.</t>
  </si>
  <si>
    <t>## [그림 생성 프롬프트]_x000D_
없음_x000D_
_x000D_
## [문항 구성]_x000D_
_x000D_
**질문:** 다음 자료의 칠판에 제시된 지표에 대한 설명으로 가장 적절한 것은? (2점)_x000D_
_x000D_
**[자료]:**_x000D_
[글상자]_x000D_
사회 시간, 선생님께서 칠판에 다음과 같은 내용을 판서하셨다._x000D_
_x000D_
==================================================_x000D_
**[오늘의 학습 주제: 경제 지표의 이해]**_x000D_
_x000D_
**국내 총생산(GDP)**_x000D_
: 일정한 기간에 한 나라 안에서 새롭게 생산된 최종 생산물의 가치를 시장 가격으로 환산하여 합한 것._x000D_
==================================================_x000D_
_x000D_
선생님: "자, 오늘은 국가의 경제 규모를 나타내는 대표적인 지표인 국내 총생산의 의미를 배웠습니다. 이 개념에 비추어 볼 때, 국내 총생산에 포함되는 것과 포함되지 않는 것을 바르게 구분해 볼까요?"_x000D_
_x000D_
**선택지:**_x000D_
① 시장에서 거래된 것만 포함된다._x000D_
② 과거에 생산된 중고품의 거래도 포함된다._x000D_
③ 생산 과정에 쓰인 중간재의 가치도 합산한다._x000D_
④ 우리나라 국민이 외국에서 생산한 것도 포함된다._x000D_
⑤ 시장에서 거래되지 않는 가사 노동이나 봉사 활동도 포함된다._x000D_
_x000D_
**정답:** ①_x000D_
_x000D_
**설명:**_x000D_
- **[정답 풀이]:** 국내 총생산(GDP)은 생산물의 가치를 '시장 가격'으로 환산하여 합한 지표입니다. 따라서 원칙적으로 시장을 통해 거래된 재화와 서비스의 가치만 포함되므로 ①번은 가장 적절한 설명입니다._x000D_
- **[오답 풀이]:** _x000D_
② 일정한 기간(보통 1년) 동안 '새롭게 생산된' 것만 포함하므로, 이전에 생산된 중고품의 거래는 포함되지 않습니다._x000D_
③ 최종 생산물의 가치만을 더해야 합니다. 생산 과정에 투입된 중간재의 가치를 합산하면 이중 계산이 되므로 제외됩니다._x000D_
④ '한 나라 안에서' 생산된 것을 기준으로 하므로, 생산자의 국적과 관계없이 우리나라 영토 내에서 생산된 것만 포함됩니다. 우리나라 국민이 외국에서 생산한 것은 제외됩니다._x000D_
⑤ 가사 노동이나 자발적인 봉사 활동은 우리 삶에 긍정적인 영향을 주지만, 시장에서 거래되어 가격이 매겨지는 것이 아니므로 국내 총생산에는 포함되지 않습니다.</t>
    <phoneticPr fontId="5" type="noConversion"/>
  </si>
  <si>
    <t>## [그림 생성 프롬프트]
&gt; **Prompt:** A black and white line art illustration of a television screen showing a news anchor reporting. Behind the anchor, there is a graphic of an upward-trending line chart with the text "GDP" and a car manufacturing plant.
&gt; **Description:** 텔레비전 화면 속에서 뉴스 앵커가 보도하고 있는 모습. 앵커 뒤쪽 배경에는 상승하는 꺾은선 그래프와 'GDP'라는 글자, 그리고 자동차 생산 공장의 모습이 그려져 있다.
## [문항 구성]
**질문:** 다음 뉴스 보도를 보고, 밑줄 친 ㉠에 대한 설명으로 가장 적절한 것은? (3점)
**[자료]:**
&gt; **[KBC 경제 뉴스]**
&gt;
&gt; **앵커:** "시청자 여러분 안녕하십니까. 올해 우리나라의 **㉠&lt;u&gt;국내 총생산(GDP)&lt;/u&gt;**이 전년 대비 성장한 것으로 나타났습니다. 특히 자동차 완제품의 수출 증가가 경제 성장에 큰 영향을 미쳤습니다. 한편, 최근 중고차 거래 시장이 활기를 띠고 있으며, 우리나라 기업들이 해외에 세운 공장에서도 생산량을 크게 늘렸다고 합니다. 이러한 경제 지표의 변화가 우리 삶에 어떤 영향을 미칠지 주목됩니다."
**선택지:**
① 시장에서 거래되는 최종 생산물의 가치만 합산한다.
② 자동차 생산에 사용된 부품의 가치도 따로 더해진다.
③ 올해 활발하게 거래된 중고차의 판매 금액도 포함된다.
④ 우리나라 기업이 외국 공장에서 생산한 자동차도 포함된다.
⑤ 국민들의 전반적인 삶의 질과 소득 분배 수준을 알 수 있다.
**정답:** ①
**설명:**
- **[정답 풀이]:** 국내 총생산(GDP)은 일정 기간(보통 1년) 동안 한 나라 안에서 새롭게 생산된 '최종 생산물'의 가치를 시장 가격으로 환산하여 합한 것입니다. 따라서 시장에서 거래되지 않는 가사 노동이나 봉사 활동 등은 제외되며, 시장에서 거래되는 최종 생산물의 가치만 합산하는 ①번이 가장 적절한 설명입니다.
- **[오답 풀이]:**
  - ② 자동차 완제품(최종 생산물)의 가격에 이미 부품의 가치가 포함되어 있으므로, 부품과 같은 중간재의 가치를 따로 더하면 이중 계산이 되어 포함하지 않습니다.
  - ③ 국내 총생산은 '새롭게 생산된' 것만 포함하므로, 과거에 생산되어 올해 거래된 중고차의 판매 금액은 포함되지 않습니다.
  - ④ 국내 총생산은 생산자의 국적과 관계없이 '한 나라(국경) 안에서' 생산된 것만 포함합니다. 따라서 우리나라 기업이 외국 공장에서 생산한 것은 제외됩니다.
  - ⑤ 국내 총생산은 국가 전체의 생산 규모를 나타낼 뿐, 생산물이 국민에게 어떻게 분배되는지 알 수 없고, 환경 오염이나 여가 시간 등 삶의 질을 종합적으로 측정하는 데는 한계가 있습니다.</t>
    <phoneticPr fontId="5" type="noConversion"/>
  </si>
  <si>
    <t>[내용영역]은 경제 성장에 관한 것, [발문 유형]은 긍정, [문항 유형]은 '신문 기사/뉴스 보도형 (News Report): 실제 있을 법한 사회적 이슈나 법적 사건을 객관적인 기사 톤으로 제시하는 형태'를 적용하여 [점수] 3점, [난이도] 중 수준의 문제를 만들어줘. [정답]은 ①번이 되도록 구성해줘.</t>
    <phoneticPr fontId="5" type="noConversion"/>
  </si>
  <si>
    <t>[내용영역]은 경제 성장에 관한 본문을 만들고 3개 문제를 만들 것, [점수] 는 각 4점, 3점, 2점. [난이도] 각 상, 중, 하 수준의 문제를 만들어줘. [정답]은 ①, ②, ③번이 되도록 구성해줘.</t>
    <phoneticPr fontId="5" type="noConversion"/>
  </si>
  <si>
    <t>## [그림 생성 프롬프트]
없음
## [문항 구성]
**[자료]:**
다음은 사회 수업 시간에 학생들이 '우리나라의 경제 성장과 삶의 질'을 주제로 발표한 내용이다. 자료를 읽고 물음에 답하시오. (1~3)
[대화문]
**학생 A:** 우리나라는 지난 수십 년 동안 눈부신 경제 성장을 이루었습니다. 그 결과 1인당 국내 총생산(GDP)이 크게 증가했고, 사람들의 평균 수명도 늘어났으며 다양한 문화생활을 즐길 수 있게 되었습니다.
**학생 B:** 네, 맞습니다. 경제 성장의 지표로 쓰이는 '국내 총생산'은 일정한 기간에 한 나라 안에서 새롭게 생산된 최종 생산물의 가치를 시장 가격으로 환산하여 합한 것을 말합니다.
**학생 C:** 하지만 국내 총생산이 증가한다고 해서 반드시 국민의 삶의 질이 향상되는 것은 아닙니다. 국내 총생산은 국민의 삶의 질을 측정하는 데 한계가 있기 때문입니다. 예를 들어, ( 가 )
**학생 D:** 그래서 최근에는 물질적 풍요뿐만 아니라 환경, 건강, 교육, 일과 삶의 균형 등 다양한 요소를 종합적으로 고려하여 국민의 삶의 질을 측정하려는 노력이 이루어지고 있습니다.
---
**질문:** 학생 B의 설명과 관련하여, 다음 중 우리나라의 올해 국내 총생산(GDP)에 포함되는 것으로 가장 적절한 것은? (4점)
**선택지:**
① 올해 국내 공장에서 생산된 신형 자동차
② 작년에 생산되어 올해 판매된 중고 노트북
③ 가족을 위해 집에서 직접 요리한 저녁 식사
④ 우리나라 기업이 외국 공장에서 생산한 스마트폰
⑤ 자동차를 만들기 위해 사용된 타이어와 유리창 부품
**정답:** ①
**설명:**
- **[정답 풀이]:** 국내 총생산(GDP)은 '일정한 기간(보통 1년)', '한 나라 안에서', '새롭게 생산된', '최종 생산물'의 시장 가치를 합한 것입니다. 올해 우리나라 영토 내에 있는 공장에서 새롭게 생산된 신형 자동차는 최종 생산물로서 시장에서 거래되므로 올해의 국내 총생산에 포함됩니다.
- **[오답 풀이]:**
② 중고품은 올해 새롭게 생산된 것이 아니므로 올해의 국내 총생산에 포함되지 않습니다.
③ 집에서 직접 한 요리나 가사 노동은 시장에서 거래되지 않으므로 국내 총생산에 포함되지 않습니다.
④ 우리나라 기업이 만들었더라도 외국에서 생산된 것은 우리나라의 국내 총생산이 아니라 해당 국가의 국내 총생산에 포함됩니다. (국내 총생산은 생산자의 국적과 관계없이 영토를 기준으로 합니다.)
⑤ 타이어와 유리창 부품은 최종 생산물인 자동차를 만들기 위해 사용된 '중간재'입니다. 중간재의 가치는 최종 생산물의 가격에 이미 포함되어 있으므로, 이중 계산을 피하기 위해 국내 총생산 산정에서 제외합니다.
---
**질문:** 밑줄 친 ( 가 )에 들어갈 적절한 사례를 &lt;보기&gt;에서 고른 것은? (3점)
**[자료]:**
&lt; 보 기 &gt;
ㄱ. 범죄가 증가하여 방범 장비의 생산과 판매가 늘어나는 경우
ㄴ. 주말 농장을 가꾸며 가족이 먹을 채소를 직접 재배하는 경우
ㄷ. 심각한 전염병이 유행하여 병원 진료와 의약품 소비가 급증하는 경우
ㄹ. 기업이 근로자의 여가 시간을 보장하여 노동 시간이 단축되는 경우
**선택지:**
① ㄱ, ㄴ
② ㄱ, ㄷ
③ ㄴ, ㄷ
④ ㄴ, ㄹ
⑤ ㄷ, ㄹ
**정답:** ②
**설명:**
- **[정답 풀이]:** 학생 C는 국내 총생산(GDP)이 증가하더라도 국민의 삶의 질은 오히려 떨어질 수 있는 '국내 총생산의 한계'를 지적하고 있습니다. 
ㄱ. 범죄 증가로 인해 방범 장비가 많이 생산되어 팔리면 국내 총생산은 증가하지만, 범죄로 인해 국민의 불안감이 커지므로 삶의 질은 떨어집니다.
ㄷ. 전염병 유행으로 병원 진료와 의약품 생산이 늘어나면 국내 총생산은 증가하지만, 국민들의 건강이 위협받으므로 삶의 질은 낮아집니다.
따라서 ( 가 )에 들어갈 사례로 ㄱ, ㄷ이 적절합니다.
- **[오답 풀이]:**
ㄴ. 가족이 먹을 채소를 직접 재배하는 것은 시장에서 거래되지 않으므로 국내 총생산에 포함되지 않지만, 건강한 식생활과 여가 활동을 통해 삶의 질은 향상될 수 있습니다.
ㄹ. 노동 시간이 단축되면 생산량이 줄어들어 국내 총생산은 감소할 수 있지만, 근로자의 여가 시간이 늘어나 삶의 질은 오히려 향상될 수 있습니다.
---
**질문:** 학생 A와 D의 발표 내용을 바탕으로 경제 성장과 삶의 질에 대해 추론한 것으로 가장 적절한 것은? (2점)
**선택지:**
① 경제가 성장하면 빈부 격차는 자연스럽게 사라진다.
② 국내 총생산이 높은 국가는 항상 삶의 만족도가 1위이다.
③ 경제 성장은 국민이 물질적으로 풍요로운 생활을 누리게 해 준다.
④ 1인당 국내 총생산이 증가하면 국민의 여가 시간은 무조건 감소한다.
⑤ 국내 총생산은 국민의 행복 수준을 완벽하게 측정할 수 있는 유일한 지표이다.
**정답:** ③
**설명:**
- **[정답 풀이]:** 학생 A의 발표에서 알 수 있듯이, 경제가 성장하고 1인당 국내 총생산이 증가하면 국가 전체의 생산 능력이 커져 국민은 과거보다 물질적으로 풍요로운 생활을 누릴 수 있게 됩니다. 이는 경제 성장이 가져오는 대표적인 긍정적 효과입니다.
- **[오답 풀이]:**
① 경제가 성장하더라도 생산된 부가 골고루 분배되지 않으면 빈부 격차가 심해질 수 있습니다.
② 경제 규모가 크고 국내 총생산이 높다고 해서 국민의 삶의 만족도나 행복 지수가 반드시 1위인 것은 아닙니다.
④ 경제 성장에 따라 노동 환경이 개선되고 생산성이 향상되면 오히려 노동 시간이 줄어들고 여가 시간이 늘어날 수 있습니다.
⑤ 학생 D의 발표처럼 국내 총생산만으로는 삶의 질을 완벽히 측정할 수 없으며, 이를 보완하기 위해 '세계 행복 보고서', '더 나은 삶 지수' 등 다양한 지표가 활용되고 있습니다.</t>
    <phoneticPr fontId="5" type="noConversion"/>
  </si>
  <si>
    <t>C:\MyTrustedFiles\이미지생성\Row_3_20260617_155007_NanoBanana.png</t>
    <phoneticPr fontId="5" type="noConversion"/>
  </si>
  <si>
    <t>경제 성장으로 달라진 생활 모습</t>
    <phoneticPr fontId="5" type="noConversion"/>
  </si>
  <si>
    <t>긍정형</t>
    <phoneticPr fontId="5" type="noConversion"/>
  </si>
  <si>
    <t>국내 총생산의 의미</t>
    <phoneticPr fontId="5" type="noConversion"/>
  </si>
  <si>
    <t>일반형</t>
    <phoneticPr fontId="5" type="noConversion"/>
  </si>
  <si>
    <t>국내 총생산의 한계</t>
    <phoneticPr fontId="5" type="noConversion"/>
  </si>
  <si>
    <t>물가상승의 영향</t>
    <phoneticPr fontId="5" type="noConversion"/>
  </si>
  <si>
    <t>부정형</t>
    <phoneticPr fontId="5" type="noConversion"/>
  </si>
  <si>
    <t>물가지수 120의 의미</t>
    <phoneticPr fontId="5" type="noConversion"/>
  </si>
  <si>
    <t>물가상승으로 불리한 사람</t>
    <phoneticPr fontId="5" type="noConversion"/>
  </si>
  <si>
    <t>물가상승에 대한 정부의 대책</t>
    <phoneticPr fontId="5" type="noConversion"/>
  </si>
  <si>
    <t>국제 거래의 특징</t>
    <phoneticPr fontId="5" type="noConversion"/>
  </si>
  <si>
    <t>실업의 의미와 계산</t>
    <phoneticPr fontId="5" type="noConversion"/>
  </si>
  <si>
    <t>실업의 종류와 대책(마찰적 실업, 계절적 실업)</t>
    <phoneticPr fontId="5" type="noConversion"/>
  </si>
  <si>
    <t>외화의 수요 요인 구분</t>
    <phoneticPr fontId="5" type="noConversion"/>
  </si>
  <si>
    <t>환율 상승시 유리한 사람</t>
    <phoneticPr fontId="5" type="noConversion"/>
  </si>
  <si>
    <t>만화/삽화형 (Cartoon): 풍자 만화나 두 컷짜리 상황 만화를 글로 묘사하여 제시하는 형태</t>
  </si>
  <si>
    <t>국제사회의 행위 주체</t>
    <phoneticPr fontId="5" type="noConversion"/>
  </si>
  <si>
    <t>안전보장이사회로 본 국제 사회의 특징</t>
    <phoneticPr fontId="5" type="noConversion"/>
  </si>
  <si>
    <t>국제 분쟁 지역(이란, 카스피해, 메콩강)</t>
    <phoneticPr fontId="5" type="noConversion"/>
  </si>
  <si>
    <t>우리나라가 직면한 국제 문제 유형</t>
    <phoneticPr fontId="5" type="noConversion"/>
  </si>
  <si>
    <t>우리나라가 직면한 국제 문제 대응 방안</t>
    <phoneticPr fontId="5" type="noConversion"/>
  </si>
  <si>
    <t>부정형 발문 문제</t>
  </si>
  <si>
    <t>사회 변동</t>
    <phoneticPr fontId="5" type="noConversion"/>
  </si>
  <si>
    <t>사회 변동의 양상(다문화적 변화)</t>
    <phoneticPr fontId="5" type="noConversion"/>
  </si>
  <si>
    <t>현대의 사회문제</t>
    <phoneticPr fontId="5" type="noConversion"/>
  </si>
  <si>
    <t>최상</t>
    <phoneticPr fontId="5" type="noConversion"/>
  </si>
  <si>
    <t>최하</t>
    <phoneticPr fontId="5" type="noConversion"/>
  </si>
  <si>
    <t>시각 자료를 사용하며, 마크다운 표나 이미지 생성 프롬프트가 필요한 형태</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</si>
</sst>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8"/>
      <name val="돋움"/>
      <family val="3"/>
      <charset val="129"/>
    </font>
    <font>
      <b/>
      <sz val="11"/>
      <color theme="1"/>
      <name val="맑은 고딕"/>
      <family val="3"/>
      <charset val="129"/>
      <scheme val="minor"/>
    </font>
    <font>
      <u/>
      <sz val="11"/>
      <color theme="10"/>
      <name val="맑은 고딕"/>
      <family val="2"/>
      <scheme val="minor"/>
    </font>
  </fonts>
  <fills count="12">
    <fill>
      <patternFill patternType="none"/>
    </fill>
    <fill>
      <patternFill patternType="gray125"/>
    </fill>
    <fill>
      <patternFill patternType="solid">
        <fgColor rgb="FFFFC8C8"/>
        <bgColor indexed="64"/>
      </patternFill>
    </fill>
    <fill>
      <patternFill patternType="solid">
        <fgColor theme="4" tint="0.79998168889431442"/>
        <bgColor indexed="64"/>
      </patternFill>
    </fill>
    <fill>
      <patternFill patternType="solid">
        <fgColor rgb="FFFFFF00"/>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D9D9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0" borderId="0">
      <alignment vertical="center"/>
    </xf>
    <xf numFmtId="0" fontId="3" fillId="0" borderId="0">
      <alignment vertical="center"/>
    </xf>
    <xf numFmtId="0" fontId="8" fillId="0" borderId="0" applyNumberFormat="0" applyFill="0" applyBorder="0" applyAlignment="0" applyProtection="0"/>
  </cellStyleXfs>
  <cellXfs count="31">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0" fillId="2" borderId="1" xfId="0" applyFill="1" applyBorder="1" applyAlignment="1">
      <alignment vertical="center" wrapText="1"/>
    </xf>
    <xf numFmtId="49" fontId="3" fillId="0" borderId="1" xfId="2" applyNumberFormat="1" applyBorder="1" applyAlignment="1">
      <alignment horizontal="left" vertical="center" wrapText="1"/>
    </xf>
    <xf numFmtId="0" fontId="0" fillId="0" borderId="1" xfId="0" quotePrefix="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0" borderId="0" xfId="0" applyAlignment="1">
      <alignment vertical="top" wrapText="1"/>
    </xf>
    <xf numFmtId="0" fontId="0" fillId="3" borderId="0" xfId="0" applyFill="1" applyAlignment="1">
      <alignment vertical="top" wrapText="1"/>
    </xf>
    <xf numFmtId="49" fontId="3" fillId="4" borderId="1" xfId="2" applyNumberFormat="1" applyFill="1" applyBorder="1" applyAlignment="1">
      <alignment horizontal="left" vertical="center" wrapText="1"/>
    </xf>
    <xf numFmtId="49" fontId="3" fillId="5" borderId="1" xfId="2" applyNumberFormat="1" applyFill="1" applyBorder="1" applyAlignment="1">
      <alignment horizontal="left" vertical="center" wrapText="1"/>
    </xf>
    <xf numFmtId="49" fontId="3" fillId="6" borderId="1" xfId="2" applyNumberFormat="1" applyFill="1" applyBorder="1" applyAlignment="1">
      <alignment horizontal="left" vertical="center" wrapText="1"/>
    </xf>
    <xf numFmtId="49" fontId="3" fillId="7" borderId="1" xfId="2" applyNumberFormat="1" applyFill="1" applyBorder="1" applyAlignment="1">
      <alignment horizontal="left" vertical="center" wrapText="1"/>
    </xf>
    <xf numFmtId="49" fontId="3" fillId="8" borderId="1" xfId="2" applyNumberFormat="1" applyFill="1" applyBorder="1" applyAlignment="1">
      <alignment horizontal="left" vertical="center" wrapText="1"/>
    </xf>
    <xf numFmtId="49" fontId="3" fillId="9" borderId="1" xfId="2" applyNumberFormat="1" applyFill="1" applyBorder="1" applyAlignment="1">
      <alignment horizontal="left" vertical="center" wrapText="1"/>
    </xf>
    <xf numFmtId="49" fontId="3" fillId="10" borderId="1" xfId="2" applyNumberFormat="1" applyFill="1" applyBorder="1" applyAlignment="1">
      <alignment horizontal="left" vertical="center" wrapText="1"/>
    </xf>
    <xf numFmtId="49" fontId="3" fillId="3" borderId="1" xfId="2" applyNumberFormat="1" applyFill="1" applyBorder="1" applyAlignment="1">
      <alignment horizontal="left" vertical="center" wrapText="1"/>
    </xf>
    <xf numFmtId="49" fontId="7" fillId="11" borderId="1" xfId="0" applyNumberFormat="1" applyFont="1" applyFill="1" applyBorder="1"/>
    <xf numFmtId="49" fontId="0" fillId="0" borderId="1" xfId="0" applyNumberFormat="1" applyBorder="1"/>
    <xf numFmtId="49" fontId="2" fillId="0" borderId="1" xfId="2" applyNumberFormat="1" applyFont="1" applyBorder="1" applyAlignment="1">
      <alignment horizontal="left" vertical="center" wrapText="1"/>
    </xf>
    <xf numFmtId="0" fontId="0" fillId="0" borderId="0" xfId="0" applyAlignment="1">
      <alignment wrapText="1"/>
    </xf>
    <xf numFmtId="0" fontId="0" fillId="0" borderId="1" xfId="0" applyBorder="1"/>
    <xf numFmtId="0" fontId="0" fillId="0" borderId="0" xfId="0"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vertical="center"/>
    </xf>
    <xf numFmtId="49" fontId="1" fillId="0" borderId="1" xfId="2" applyNumberFormat="1" applyFont="1" applyBorder="1" applyAlignment="1">
      <alignment horizontal="left" vertical="center" wrapText="1"/>
    </xf>
    <xf numFmtId="0" fontId="0" fillId="0" borderId="1" xfId="0" applyBorder="1" applyAlignment="1">
      <alignment horizontal="center" vertical="center" wrapText="1"/>
    </xf>
    <xf numFmtId="49" fontId="8" fillId="0" borderId="1" xfId="3" applyNumberFormat="1" applyBorder="1" applyAlignment="1">
      <alignment horizontal="left" vertical="center"/>
    </xf>
    <xf numFmtId="49" fontId="0" fillId="0" borderId="1" xfId="0" applyNumberFormat="1" applyBorder="1" applyAlignment="1">
      <alignment vertical="center" wrapText="1"/>
    </xf>
  </cellXfs>
  <cellStyles count="4">
    <cellStyle name="표준" xfId="0" builtinId="0"/>
    <cellStyle name="표준 2" xfId="1" xr:uid="{D42D7450-0EFD-4A5F-A40F-FCB2230FB713}"/>
    <cellStyle name="표준 2 2" xfId="2" xr:uid="{D22C9610-E57E-4D93-A7F4-7CD8961F4A97}"/>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file:///C:\MyTrustedFiles\&#51060;&#48120;&#51648;&#49373;&#49457;\Row_3_20260617_155007_NanoBanana.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5C6FF-751E-437D-A7DB-4FE886483578}">
  <dimension ref="A1:R26"/>
  <sheetViews>
    <sheetView zoomScale="85" zoomScaleNormal="85" workbookViewId="0">
      <selection activeCell="G2" sqref="G2"/>
    </sheetView>
  </sheetViews>
  <sheetFormatPr defaultRowHeight="17" x14ac:dyDescent="0.45"/>
  <cols>
    <col min="2" max="2" width="8.6640625" style="3"/>
    <col min="3" max="3" width="12" style="3" customWidth="1"/>
    <col min="4" max="5" width="13" style="3" customWidth="1"/>
    <col min="6" max="6" width="30" style="3" customWidth="1"/>
    <col min="7" max="8" width="108.08203125" style="3" customWidth="1"/>
    <col min="9" max="9" width="95.83203125" style="3" customWidth="1"/>
    <col min="10" max="10" width="24.4140625" style="3" customWidth="1"/>
    <col min="11" max="11" width="82.83203125" style="3" customWidth="1"/>
    <col min="12" max="12" width="90.58203125" style="3" customWidth="1"/>
    <col min="13" max="13" width="96.4140625" style="3" customWidth="1"/>
    <col min="14" max="14" width="5.08203125" style="3" bestFit="1" customWidth="1"/>
    <col min="15" max="15" width="49.75" style="3" bestFit="1" customWidth="1"/>
    <col min="16" max="16" width="110.08203125" style="3" bestFit="1" customWidth="1"/>
    <col min="17" max="17" width="3.08203125" style="3" bestFit="1" customWidth="1"/>
    <col min="18" max="18" width="64.4140625" bestFit="1" customWidth="1"/>
  </cols>
  <sheetData>
    <row r="1" spans="1:18" x14ac:dyDescent="0.45">
      <c r="A1" s="1" t="s">
        <v>0</v>
      </c>
      <c r="B1" s="2" t="s">
        <v>1</v>
      </c>
      <c r="C1" s="2" t="s">
        <v>2</v>
      </c>
      <c r="D1" s="4" t="s">
        <v>3</v>
      </c>
      <c r="E1" s="4" t="s">
        <v>4</v>
      </c>
      <c r="F1" s="4" t="s">
        <v>5</v>
      </c>
      <c r="G1" s="2" t="s">
        <v>6</v>
      </c>
      <c r="H1" s="2"/>
      <c r="I1" s="2"/>
      <c r="J1" s="2"/>
      <c r="K1" s="2"/>
      <c r="L1" s="2"/>
      <c r="M1" s="2"/>
      <c r="N1" s="2"/>
      <c r="O1" s="2"/>
      <c r="P1" s="2"/>
      <c r="Q1" s="2"/>
      <c r="R1" s="2"/>
    </row>
    <row r="2" spans="1:18" ht="409" customHeight="1" x14ac:dyDescent="0.45">
      <c r="A2" s="1">
        <v>1</v>
      </c>
      <c r="B2" s="5" t="s">
        <v>7</v>
      </c>
      <c r="C2" s="2" t="s">
        <v>9</v>
      </c>
      <c r="D2" s="2" t="s">
        <v>10</v>
      </c>
      <c r="E2" s="2"/>
      <c r="F2" s="6" t="s">
        <v>52</v>
      </c>
      <c r="G2" s="21" t="s">
        <v>53</v>
      </c>
      <c r="H2" s="5"/>
      <c r="I2" s="2"/>
      <c r="J2" s="7"/>
      <c r="K2" s="7"/>
      <c r="L2" s="7"/>
      <c r="M2" s="8"/>
      <c r="N2" s="7"/>
      <c r="O2" s="7"/>
      <c r="P2" s="9"/>
      <c r="Q2" s="9"/>
      <c r="R2" s="9"/>
    </row>
    <row r="3" spans="1:18" ht="409" customHeight="1" x14ac:dyDescent="0.45">
      <c r="A3" s="1"/>
      <c r="B3" s="5" t="s">
        <v>7</v>
      </c>
      <c r="C3" s="2" t="s">
        <v>9</v>
      </c>
      <c r="D3" s="2" t="s">
        <v>10</v>
      </c>
      <c r="E3" s="2"/>
      <c r="F3" s="6" t="s">
        <v>55</v>
      </c>
      <c r="G3" s="27" t="s">
        <v>54</v>
      </c>
      <c r="H3" s="29" t="s">
        <v>58</v>
      </c>
      <c r="I3" s="2"/>
      <c r="J3" s="7"/>
      <c r="K3" s="7"/>
      <c r="L3" s="7"/>
      <c r="M3" s="7"/>
      <c r="N3" s="7"/>
      <c r="O3" s="7"/>
      <c r="P3" s="10"/>
      <c r="Q3" s="9"/>
      <c r="R3" s="9"/>
    </row>
    <row r="4" spans="1:18" ht="409" customHeight="1" x14ac:dyDescent="0.45">
      <c r="A4" s="1"/>
      <c r="B4" s="11"/>
      <c r="C4" s="2" t="s">
        <v>9</v>
      </c>
      <c r="D4" s="2" t="s">
        <v>10</v>
      </c>
      <c r="E4" s="2"/>
      <c r="F4" s="2" t="s">
        <v>56</v>
      </c>
      <c r="G4" s="28" t="s">
        <v>57</v>
      </c>
      <c r="H4" s="25"/>
      <c r="I4" s="2"/>
      <c r="J4" s="7"/>
      <c r="K4" s="7"/>
      <c r="L4" s="7"/>
      <c r="M4" s="7"/>
      <c r="N4" s="7"/>
      <c r="O4" s="7"/>
      <c r="P4" s="10"/>
      <c r="Q4" s="9"/>
      <c r="R4" s="9"/>
    </row>
    <row r="5" spans="1:18" ht="409" customHeight="1" x14ac:dyDescent="0.45">
      <c r="A5" s="1"/>
      <c r="B5" s="11"/>
      <c r="C5" s="2"/>
      <c r="D5" s="2"/>
      <c r="E5" s="2"/>
      <c r="F5" s="2"/>
      <c r="G5" s="5"/>
      <c r="H5" s="5"/>
      <c r="I5" s="2"/>
      <c r="J5" s="7"/>
      <c r="K5" s="7"/>
      <c r="L5" s="7"/>
      <c r="M5" s="7"/>
      <c r="N5" s="7"/>
      <c r="O5" s="7"/>
      <c r="P5" s="9"/>
      <c r="Q5" s="9"/>
      <c r="R5" s="9"/>
    </row>
    <row r="6" spans="1:18" ht="409" customHeight="1" x14ac:dyDescent="0.45">
      <c r="A6" s="1"/>
      <c r="B6" s="12"/>
      <c r="C6" s="2"/>
      <c r="D6" s="2"/>
      <c r="E6" s="2"/>
      <c r="F6" s="2"/>
      <c r="G6" s="5"/>
      <c r="H6" s="5"/>
      <c r="I6" s="2"/>
      <c r="J6" s="7"/>
      <c r="K6" s="7"/>
      <c r="L6" s="7"/>
      <c r="M6" s="7"/>
      <c r="N6" s="7"/>
      <c r="O6" s="7"/>
      <c r="P6" s="9"/>
      <c r="Q6" s="9"/>
      <c r="R6" s="9"/>
    </row>
    <row r="7" spans="1:18" ht="409" customHeight="1" x14ac:dyDescent="0.45">
      <c r="A7" s="1"/>
      <c r="B7" s="12"/>
      <c r="C7" s="2"/>
      <c r="D7" s="2"/>
      <c r="E7" s="2"/>
      <c r="F7" s="2"/>
      <c r="G7" s="5"/>
      <c r="H7" s="5"/>
      <c r="I7" s="2"/>
      <c r="J7" s="7"/>
      <c r="K7" s="7"/>
      <c r="L7" s="7"/>
      <c r="M7" s="7"/>
      <c r="N7" s="7"/>
      <c r="O7" s="7"/>
      <c r="P7" s="9"/>
      <c r="Q7" s="9"/>
      <c r="R7" s="9"/>
    </row>
    <row r="8" spans="1:18" ht="409" customHeight="1" x14ac:dyDescent="0.45">
      <c r="A8" s="1"/>
      <c r="B8" s="12"/>
      <c r="C8" s="2"/>
      <c r="D8" s="2"/>
      <c r="E8" s="2"/>
      <c r="F8" s="2"/>
      <c r="G8" s="5"/>
      <c r="H8" s="5"/>
      <c r="I8" s="2"/>
      <c r="J8" s="7"/>
      <c r="K8" s="7"/>
      <c r="L8" s="7"/>
      <c r="M8" s="7"/>
      <c r="N8" s="7"/>
      <c r="O8" s="7"/>
      <c r="P8" s="9"/>
      <c r="Q8" s="9"/>
      <c r="R8" s="9"/>
    </row>
    <row r="9" spans="1:18" ht="409" customHeight="1" x14ac:dyDescent="0.45">
      <c r="A9" s="1"/>
      <c r="B9" s="13"/>
      <c r="C9" s="2"/>
      <c r="D9" s="2"/>
      <c r="E9" s="2"/>
      <c r="F9" s="2"/>
      <c r="G9" s="5"/>
      <c r="H9" s="5"/>
      <c r="I9" s="2"/>
      <c r="J9" s="7"/>
      <c r="K9" s="7"/>
      <c r="L9" s="7"/>
      <c r="M9" s="7"/>
      <c r="N9" s="7"/>
      <c r="O9" s="7"/>
      <c r="P9" s="9"/>
      <c r="Q9" s="9"/>
      <c r="R9" s="9"/>
    </row>
    <row r="10" spans="1:18" ht="409" customHeight="1" x14ac:dyDescent="0.45">
      <c r="A10" s="1"/>
      <c r="B10" s="13"/>
      <c r="C10" s="2"/>
      <c r="D10" s="2"/>
      <c r="E10" s="2"/>
      <c r="F10" s="2"/>
      <c r="G10" s="5"/>
      <c r="H10" s="5"/>
      <c r="I10" s="2"/>
      <c r="J10" s="7"/>
      <c r="K10" s="7"/>
      <c r="L10" s="7"/>
      <c r="M10" s="7"/>
      <c r="N10" s="7"/>
      <c r="O10" s="7"/>
      <c r="P10" s="9"/>
      <c r="Q10" s="9"/>
      <c r="R10" s="9"/>
    </row>
    <row r="11" spans="1:18" ht="409" customHeight="1" x14ac:dyDescent="0.45">
      <c r="A11" s="1"/>
      <c r="B11" s="13"/>
      <c r="C11" s="2"/>
      <c r="D11" s="2"/>
      <c r="E11" s="2"/>
      <c r="F11" s="2"/>
      <c r="G11" s="5"/>
      <c r="H11" s="5"/>
      <c r="I11" s="2"/>
      <c r="J11" s="7"/>
      <c r="K11" s="7"/>
      <c r="L11" s="7"/>
      <c r="M11" s="7"/>
      <c r="N11" s="7"/>
      <c r="O11" s="7"/>
      <c r="P11" s="10"/>
      <c r="Q11" s="9"/>
      <c r="R11" s="9"/>
    </row>
    <row r="12" spans="1:18" ht="409" customHeight="1" x14ac:dyDescent="0.45">
      <c r="A12" s="1"/>
      <c r="B12" s="13"/>
      <c r="C12" s="2"/>
      <c r="D12" s="2"/>
      <c r="E12" s="2"/>
      <c r="F12" s="2"/>
      <c r="G12" s="5"/>
      <c r="H12" s="5"/>
      <c r="I12" s="2"/>
      <c r="J12" s="7"/>
      <c r="K12" s="7"/>
      <c r="L12" s="7"/>
      <c r="M12" s="7"/>
      <c r="N12" s="7"/>
      <c r="O12" s="7"/>
      <c r="P12" s="9"/>
      <c r="Q12" s="9"/>
      <c r="R12" s="9"/>
    </row>
    <row r="13" spans="1:18" ht="409" customHeight="1" x14ac:dyDescent="0.45">
      <c r="A13" s="1"/>
      <c r="B13" s="14"/>
      <c r="C13" s="2"/>
      <c r="D13" s="2"/>
      <c r="E13" s="2"/>
      <c r="F13" s="2"/>
      <c r="G13" s="5"/>
      <c r="H13" s="5"/>
      <c r="I13" s="2"/>
      <c r="J13" s="7"/>
      <c r="K13" s="7"/>
      <c r="L13" s="7"/>
      <c r="M13" s="7"/>
      <c r="N13" s="7"/>
      <c r="O13" s="7"/>
      <c r="P13" s="9"/>
      <c r="Q13" s="9"/>
      <c r="R13" s="9"/>
    </row>
    <row r="14" spans="1:18" ht="409" customHeight="1" x14ac:dyDescent="0.45">
      <c r="A14" s="1"/>
      <c r="B14" s="14"/>
      <c r="C14" s="2"/>
      <c r="D14" s="2"/>
      <c r="E14" s="2"/>
      <c r="F14" s="2"/>
      <c r="G14" s="5"/>
      <c r="H14" s="5"/>
      <c r="I14" s="2"/>
      <c r="J14" s="7"/>
      <c r="K14" s="7"/>
      <c r="L14" s="7"/>
      <c r="M14" s="7"/>
      <c r="N14" s="7"/>
      <c r="O14" s="7"/>
      <c r="P14" s="9"/>
      <c r="Q14" s="9"/>
      <c r="R14" s="9"/>
    </row>
    <row r="15" spans="1:18" ht="409" customHeight="1" x14ac:dyDescent="0.45">
      <c r="A15" s="1"/>
      <c r="B15" s="14"/>
      <c r="C15" s="2"/>
      <c r="D15" s="2"/>
      <c r="E15" s="2"/>
      <c r="F15" s="2"/>
      <c r="G15" s="5"/>
      <c r="H15" s="5"/>
      <c r="I15" s="2"/>
      <c r="J15" s="7"/>
      <c r="K15" s="7"/>
      <c r="L15" s="7"/>
      <c r="M15" s="7"/>
      <c r="N15" s="7"/>
      <c r="O15" s="7"/>
      <c r="P15" s="9"/>
      <c r="Q15" s="9"/>
      <c r="R15" s="9"/>
    </row>
    <row r="16" spans="1:18" ht="409" customHeight="1" x14ac:dyDescent="0.45">
      <c r="A16" s="1"/>
      <c r="B16" s="12"/>
      <c r="C16" s="2"/>
      <c r="D16" s="2"/>
      <c r="E16" s="2"/>
      <c r="F16" s="2"/>
      <c r="G16" s="5"/>
      <c r="H16" s="5"/>
      <c r="I16" s="2"/>
      <c r="J16" s="7"/>
      <c r="K16" s="7"/>
      <c r="L16" s="7"/>
      <c r="M16" s="7"/>
      <c r="N16" s="7"/>
      <c r="O16" s="7"/>
      <c r="P16" s="9"/>
      <c r="Q16" s="9"/>
      <c r="R16" s="9"/>
    </row>
    <row r="17" spans="1:18" ht="409" customHeight="1" x14ac:dyDescent="0.45">
      <c r="A17" s="1"/>
      <c r="B17" s="12"/>
      <c r="C17" s="2"/>
      <c r="D17" s="2"/>
      <c r="E17" s="2"/>
      <c r="F17" s="2"/>
      <c r="G17" s="5"/>
      <c r="H17" s="5"/>
      <c r="I17" s="2"/>
      <c r="J17" s="7"/>
      <c r="K17" s="7"/>
      <c r="L17" s="7"/>
      <c r="M17" s="7"/>
      <c r="N17" s="7"/>
      <c r="O17" s="7"/>
      <c r="P17" s="9"/>
      <c r="Q17" s="9"/>
      <c r="R17" s="9"/>
    </row>
    <row r="18" spans="1:18" ht="409" customHeight="1" x14ac:dyDescent="0.45">
      <c r="A18" s="1"/>
      <c r="B18" s="15"/>
      <c r="C18" s="2"/>
      <c r="D18" s="2"/>
      <c r="E18" s="2"/>
      <c r="F18" s="2"/>
      <c r="G18" s="5"/>
      <c r="H18" s="5"/>
      <c r="I18" s="2"/>
      <c r="J18" s="7"/>
      <c r="K18" s="7"/>
      <c r="L18" s="7"/>
      <c r="M18" s="7"/>
      <c r="N18" s="7"/>
      <c r="O18" s="7"/>
      <c r="P18" s="9"/>
      <c r="Q18" s="9"/>
      <c r="R18" s="9"/>
    </row>
    <row r="19" spans="1:18" ht="409" customHeight="1" x14ac:dyDescent="0.45">
      <c r="A19" s="1"/>
      <c r="B19" s="15"/>
      <c r="C19" s="2"/>
      <c r="D19" s="2"/>
      <c r="E19" s="2"/>
      <c r="F19" s="2"/>
      <c r="G19" s="5"/>
      <c r="H19" s="5"/>
      <c r="I19" s="2"/>
      <c r="J19" s="7"/>
      <c r="K19" s="7"/>
      <c r="L19" s="7"/>
      <c r="M19" s="7"/>
      <c r="N19" s="7"/>
      <c r="O19" s="7"/>
      <c r="P19" s="10"/>
      <c r="Q19" s="9"/>
      <c r="R19" s="9"/>
    </row>
    <row r="20" spans="1:18" ht="409" customHeight="1" x14ac:dyDescent="0.45">
      <c r="A20" s="1"/>
      <c r="B20" s="16"/>
      <c r="C20" s="2"/>
      <c r="D20" s="2"/>
      <c r="E20" s="2"/>
      <c r="F20" s="2"/>
      <c r="G20" s="5"/>
      <c r="H20" s="5"/>
      <c r="I20" s="2"/>
      <c r="J20" s="7"/>
      <c r="K20" s="7"/>
      <c r="L20" s="7"/>
      <c r="M20" s="7"/>
      <c r="N20" s="7"/>
      <c r="O20" s="7"/>
      <c r="P20" s="9"/>
      <c r="Q20" s="9"/>
      <c r="R20" s="9"/>
    </row>
    <row r="21" spans="1:18" ht="409" customHeight="1" x14ac:dyDescent="0.45">
      <c r="A21" s="1"/>
      <c r="B21" s="16"/>
      <c r="C21" s="2"/>
      <c r="D21" s="2"/>
      <c r="E21" s="2"/>
      <c r="F21" s="2"/>
      <c r="G21" s="5"/>
      <c r="H21" s="5"/>
      <c r="I21" s="2"/>
      <c r="J21" s="7"/>
      <c r="K21" s="7"/>
      <c r="L21" s="7"/>
      <c r="M21" s="7"/>
      <c r="N21" s="7"/>
      <c r="O21" s="7"/>
      <c r="P21" s="9"/>
      <c r="Q21" s="9"/>
      <c r="R21" s="9"/>
    </row>
    <row r="22" spans="1:18" ht="409" customHeight="1" x14ac:dyDescent="0.45">
      <c r="A22" s="1"/>
      <c r="B22" s="12"/>
      <c r="C22" s="2"/>
      <c r="D22" s="2"/>
      <c r="E22" s="2"/>
      <c r="F22" s="2"/>
      <c r="G22" s="5"/>
      <c r="H22" s="5"/>
      <c r="I22" s="2"/>
      <c r="J22" s="7"/>
      <c r="K22" s="7"/>
      <c r="L22" s="7"/>
      <c r="M22" s="7"/>
      <c r="N22" s="2"/>
      <c r="O22" s="7"/>
    </row>
    <row r="23" spans="1:18" ht="409" customHeight="1" x14ac:dyDescent="0.45">
      <c r="A23" s="1"/>
      <c r="B23" s="17"/>
      <c r="C23" s="2"/>
      <c r="D23" s="2"/>
      <c r="E23" s="2"/>
      <c r="F23" s="2"/>
      <c r="G23" s="5"/>
      <c r="H23" s="5"/>
      <c r="I23" s="2"/>
      <c r="J23" s="7"/>
      <c r="K23" s="7"/>
      <c r="L23" s="7"/>
      <c r="M23" s="7"/>
      <c r="N23" s="2"/>
      <c r="O23" s="7"/>
    </row>
    <row r="24" spans="1:18" ht="409" customHeight="1" x14ac:dyDescent="0.45">
      <c r="A24" s="1"/>
      <c r="B24" s="18"/>
      <c r="C24" s="2"/>
      <c r="D24" s="2"/>
      <c r="E24" s="2"/>
      <c r="F24" s="2"/>
      <c r="G24" s="5"/>
      <c r="H24" s="5"/>
      <c r="I24" s="2"/>
      <c r="J24" s="7"/>
      <c r="K24" s="7"/>
      <c r="L24" s="7"/>
      <c r="M24" s="7"/>
      <c r="N24" s="2"/>
      <c r="O24" s="7"/>
    </row>
    <row r="25" spans="1:18" ht="409" customHeight="1" x14ac:dyDescent="0.45">
      <c r="A25" s="1"/>
      <c r="B25" s="16"/>
      <c r="C25" s="2"/>
      <c r="D25" s="2"/>
      <c r="E25" s="2"/>
      <c r="F25" s="2"/>
      <c r="G25" s="5"/>
      <c r="H25" s="5"/>
      <c r="I25" s="2"/>
      <c r="J25" s="7"/>
      <c r="K25" s="7"/>
      <c r="L25" s="7"/>
      <c r="M25" s="7"/>
      <c r="N25" s="2"/>
      <c r="O25" s="7"/>
    </row>
    <row r="26" spans="1:18" ht="409" customHeight="1" x14ac:dyDescent="0.45">
      <c r="A26" s="1"/>
      <c r="B26" s="5"/>
      <c r="C26" s="2"/>
      <c r="D26" s="2"/>
      <c r="E26" s="2"/>
      <c r="F26" s="2"/>
      <c r="G26" s="5"/>
      <c r="H26" s="5"/>
      <c r="I26" s="2"/>
      <c r="J26" s="7"/>
      <c r="K26" s="7"/>
      <c r="L26" s="7"/>
      <c r="M26" s="7"/>
      <c r="N26" s="2"/>
      <c r="O26" s="7"/>
    </row>
  </sheetData>
  <autoFilter ref="A1:O26" xr:uid="{00000000-0001-0000-0000-000000000000}"/>
  <phoneticPr fontId="5" type="noConversion"/>
  <hyperlinks>
    <hyperlink ref="H3" r:id="rId1" xr:uid="{4159E928-156E-4265-944F-5509E426A5C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852A-C8DD-42B5-8AF2-000EC7D8C90B}">
  <dimension ref="A1:B19"/>
  <sheetViews>
    <sheetView workbookViewId="0">
      <selection activeCell="A19" sqref="A19"/>
    </sheetView>
  </sheetViews>
  <sheetFormatPr defaultRowHeight="17" x14ac:dyDescent="0.45"/>
  <cols>
    <col min="1" max="1" width="106.33203125" customWidth="1"/>
  </cols>
  <sheetData>
    <row r="1" spans="1:2" x14ac:dyDescent="0.45">
      <c r="A1" s="19" t="s">
        <v>8</v>
      </c>
      <c r="B1" s="23" t="s">
        <v>37</v>
      </c>
    </row>
    <row r="2" spans="1:2" x14ac:dyDescent="0.45">
      <c r="A2" s="20" t="s">
        <v>11</v>
      </c>
      <c r="B2" s="23" t="s">
        <v>38</v>
      </c>
    </row>
    <row r="3" spans="1:2" x14ac:dyDescent="0.45">
      <c r="A3" s="20" t="s">
        <v>12</v>
      </c>
      <c r="B3" s="23" t="s">
        <v>39</v>
      </c>
    </row>
    <row r="4" spans="1:2" x14ac:dyDescent="0.45">
      <c r="A4" s="20" t="s">
        <v>13</v>
      </c>
      <c r="B4" s="23" t="s">
        <v>40</v>
      </c>
    </row>
    <row r="5" spans="1:2" x14ac:dyDescent="0.45">
      <c r="A5" s="20" t="s">
        <v>14</v>
      </c>
      <c r="B5" s="23" t="s">
        <v>41</v>
      </c>
    </row>
    <row r="6" spans="1:2" x14ac:dyDescent="0.45">
      <c r="A6" s="20" t="s">
        <v>15</v>
      </c>
      <c r="B6" s="23" t="s">
        <v>42</v>
      </c>
    </row>
    <row r="7" spans="1:2" x14ac:dyDescent="0.45">
      <c r="A7" s="20" t="s">
        <v>16</v>
      </c>
    </row>
    <row r="8" spans="1:2" x14ac:dyDescent="0.45">
      <c r="A8" s="20" t="s">
        <v>17</v>
      </c>
    </row>
    <row r="9" spans="1:2" x14ac:dyDescent="0.45">
      <c r="A9" s="20" t="s">
        <v>18</v>
      </c>
    </row>
    <row r="10" spans="1:2" x14ac:dyDescent="0.45">
      <c r="A10" s="20" t="s">
        <v>19</v>
      </c>
    </row>
    <row r="11" spans="1:2" x14ac:dyDescent="0.45">
      <c r="A11" s="20" t="s">
        <v>20</v>
      </c>
    </row>
    <row r="12" spans="1:2" x14ac:dyDescent="0.45">
      <c r="A12" s="20" t="s">
        <v>21</v>
      </c>
    </row>
    <row r="13" spans="1:2" x14ac:dyDescent="0.45">
      <c r="A13" s="20" t="s">
        <v>22</v>
      </c>
    </row>
    <row r="14" spans="1:2" x14ac:dyDescent="0.45">
      <c r="A14" s="20" t="s">
        <v>74</v>
      </c>
    </row>
    <row r="15" spans="1:2" x14ac:dyDescent="0.45">
      <c r="A15" s="20" t="s">
        <v>23</v>
      </c>
    </row>
    <row r="16" spans="1:2" x14ac:dyDescent="0.45">
      <c r="A16" s="20" t="s">
        <v>24</v>
      </c>
    </row>
    <row r="17" spans="1:1" x14ac:dyDescent="0.45">
      <c r="A17" s="20" t="s">
        <v>25</v>
      </c>
    </row>
    <row r="18" spans="1:1" x14ac:dyDescent="0.45">
      <c r="A18" s="20" t="s">
        <v>80</v>
      </c>
    </row>
    <row r="19" spans="1:1" x14ac:dyDescent="0.45">
      <c r="A19" s="20" t="s">
        <v>50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AB14-F6EE-4D7C-82DB-17EE9B387F43}">
  <dimension ref="A1:O37"/>
  <sheetViews>
    <sheetView tabSelected="1" zoomScale="70" zoomScaleNormal="70" workbookViewId="0">
      <selection activeCell="D2" sqref="D2"/>
    </sheetView>
  </sheetViews>
  <sheetFormatPr defaultRowHeight="17" x14ac:dyDescent="0.45"/>
  <cols>
    <col min="2" max="2" width="10.25" bestFit="1" customWidth="1"/>
    <col min="3" max="3" width="11" bestFit="1" customWidth="1"/>
    <col min="4" max="4" width="61.58203125" style="22" customWidth="1"/>
    <col min="5" max="5" width="8.33203125" style="24" customWidth="1"/>
    <col min="6" max="6" width="8.33203125" style="24" bestFit="1" customWidth="1"/>
    <col min="7" max="7" width="6.5" style="24" bestFit="1" customWidth="1"/>
    <col min="8" max="8" width="82.08203125" style="22" customWidth="1"/>
    <col min="10" max="10" width="7" bestFit="1" customWidth="1"/>
    <col min="11" max="15" width="3.5" bestFit="1" customWidth="1"/>
  </cols>
  <sheetData>
    <row r="1" spans="1:15" x14ac:dyDescent="0.45">
      <c r="A1" s="1" t="s">
        <v>0</v>
      </c>
      <c r="B1" s="1" t="s">
        <v>26</v>
      </c>
      <c r="C1" s="1" t="s">
        <v>27</v>
      </c>
      <c r="D1" s="2" t="s">
        <v>28</v>
      </c>
      <c r="E1" s="25" t="s">
        <v>51</v>
      </c>
      <c r="F1" s="25" t="s">
        <v>29</v>
      </c>
      <c r="G1" s="25" t="s">
        <v>30</v>
      </c>
      <c r="H1" s="2" t="s">
        <v>43</v>
      </c>
      <c r="J1" s="26" t="s">
        <v>44</v>
      </c>
      <c r="K1" s="25" t="s">
        <v>36</v>
      </c>
      <c r="L1" s="25" t="s">
        <v>46</v>
      </c>
      <c r="M1" s="25" t="s">
        <v>47</v>
      </c>
    </row>
    <row r="2" spans="1:15" ht="68" x14ac:dyDescent="0.45">
      <c r="A2" s="1">
        <v>1</v>
      </c>
      <c r="B2" s="2" t="s">
        <v>59</v>
      </c>
      <c r="C2" s="1" t="s">
        <v>60</v>
      </c>
      <c r="D2" s="30" t="s">
        <v>17</v>
      </c>
      <c r="E2" s="25">
        <v>2</v>
      </c>
      <c r="F2" s="25" t="s">
        <v>85</v>
      </c>
      <c r="G2" s="25" t="s">
        <v>38</v>
      </c>
      <c r="H2" s="2" t="str">
        <f>$B$1&amp;"은 "&amp;B2&amp;"에 관한 것, "&amp;$C$1&amp;"은 "&amp;C2&amp;", "&amp;$D$1&amp;"은 "&amp;"'"&amp;D2&amp;"'를 적용하여 "&amp;$E$1&amp;" "&amp;E2&amp;"점, "&amp;$F$1&amp;" "&amp;F2&amp;" 수준의 문제를 만들어줘. "&amp;$G$1&amp;"은 "&amp;G2&amp;"번이 되도록 구성해줘."</f>
        <v>[내용영역]은 경제 성장으로 달라진 생활 모습에 관한 것, [발문 유형]은 긍정형, [문항 유형]은 '메신저 대화형 (Chat/Messenger): 카카오톡 같은 모바일 메신저 창에서 친구들이나 가족이 대화하는 화면을 묘사하는 형태'를 적용하여 [점수] 2점, [난이도] 최하 수준의 문제를 만들어줘. [정답]은 ①번이 되도록 구성해줘.</v>
      </c>
      <c r="I2" s="22"/>
      <c r="J2" s="26">
        <f>SUM(K2:M2)</f>
        <v>18</v>
      </c>
      <c r="K2" s="25">
        <f>COUNTIF($F$2:$G$37,"상")</f>
        <v>4</v>
      </c>
      <c r="L2" s="25">
        <f>COUNTIF($F$2:$G$37,"중")</f>
        <v>10</v>
      </c>
      <c r="M2" s="25">
        <f>COUNTIF($F$2:$G$37,"하")</f>
        <v>4</v>
      </c>
    </row>
    <row r="3" spans="1:15" ht="34" x14ac:dyDescent="0.45">
      <c r="A3" s="1">
        <v>2</v>
      </c>
      <c r="B3" s="2" t="s">
        <v>61</v>
      </c>
      <c r="C3" s="1" t="s">
        <v>62</v>
      </c>
      <c r="D3" s="30" t="s">
        <v>50</v>
      </c>
      <c r="E3" s="25">
        <v>3</v>
      </c>
      <c r="F3" s="25" t="s">
        <v>47</v>
      </c>
      <c r="G3" s="25" t="s">
        <v>38</v>
      </c>
      <c r="H3" s="2" t="str">
        <f t="shared" ref="H3:H21" si="0">$B$1&amp;"은 "&amp;B3&amp;"에 관한 것, "&amp;$C$1&amp;"은 "&amp;C3&amp;", "&amp;$D$1&amp;"은 "&amp;"'"&amp;D3&amp;"'를 적용하여 "&amp;$E$1&amp;" "&amp;E3&amp;"점, "&amp;$F$1&amp;" "&amp;F3&amp;" 수준의 문제를 만들어줘. "&amp;$G$1&amp;"은 "&amp;G3&amp;"번이 되도록 구성해줘."</f>
        <v>[내용영역]은 국내 총생산의 의미에 관한 것, [발문 유형]은 일반형, [문항 유형]은 '개념 설명형 문제'를 적용하여 [점수] 3점, [난이도] 하 수준의 문제를 만들어줘. [정답]은 ①번이 되도록 구성해줘.</v>
      </c>
    </row>
    <row r="4" spans="1:15" ht="51" x14ac:dyDescent="0.45">
      <c r="A4" s="1">
        <v>3</v>
      </c>
      <c r="B4" s="2" t="s">
        <v>63</v>
      </c>
      <c r="C4" s="1" t="s">
        <v>62</v>
      </c>
      <c r="D4" s="30" t="s">
        <v>23</v>
      </c>
      <c r="E4" s="25">
        <v>4</v>
      </c>
      <c r="F4" s="25" t="s">
        <v>45</v>
      </c>
      <c r="G4" s="25" t="s">
        <v>38</v>
      </c>
      <c r="H4" s="2" t="str">
        <f t="shared" si="0"/>
        <v>[내용영역]은 국내 총생산의 한계에 관한 것, [발문 유형]은 일반형, [문항 유형]은 '&lt;보기&gt; 나열형: 글상자 안에 ㄱ, ㄴ, ㄷ, ㄹ 4개의 명제를 나열하고 맞는 것끼리 짝지은 것을 고르는 형태'를 적용하여 [점수] 4점, [난이도] 중 수준의 문제를 만들어줘. [정답]은 ①번이 되도록 구성해줘.</v>
      </c>
      <c r="J4" s="26" t="s">
        <v>48</v>
      </c>
      <c r="K4" s="25" t="s">
        <v>49</v>
      </c>
      <c r="L4" s="25" t="s">
        <v>39</v>
      </c>
      <c r="M4" s="25" t="s">
        <v>40</v>
      </c>
      <c r="N4" s="25" t="s">
        <v>41</v>
      </c>
      <c r="O4" s="25" t="s">
        <v>42</v>
      </c>
    </row>
    <row r="5" spans="1:15" ht="51" x14ac:dyDescent="0.45">
      <c r="A5" s="1">
        <v>4</v>
      </c>
      <c r="B5" s="2" t="s">
        <v>64</v>
      </c>
      <c r="C5" s="1" t="s">
        <v>65</v>
      </c>
      <c r="D5" s="30" t="s">
        <v>14</v>
      </c>
      <c r="E5" s="25">
        <v>5</v>
      </c>
      <c r="F5" s="25" t="s">
        <v>36</v>
      </c>
      <c r="G5" s="25" t="s">
        <v>38</v>
      </c>
      <c r="H5" s="2" t="str">
        <f t="shared" si="0"/>
        <v>[내용영역]은 물가상승의 영향에 관한 것, [발문 유형]은 부정형, [문항 유형]은 '사례/스토리 제시형 (Case Study): 일상생활에서 벌어지는 구체적인 사건이나 갈등 상황을 짧은 이야기로 제시하는 형태'를 적용하여 [점수] 5점, [난이도] 상 수준의 문제를 만들어줘. [정답]은 ①번이 되도록 구성해줘.</v>
      </c>
      <c r="J5" s="26">
        <f>SUM(K5:O5)</f>
        <v>20</v>
      </c>
      <c r="K5" s="25">
        <f>COUNTIF($F$2:$G$37,"①")</f>
        <v>20</v>
      </c>
      <c r="L5" s="25">
        <f>COUNTIF($F$2:$G$37,"②")</f>
        <v>0</v>
      </c>
      <c r="M5" s="25">
        <f>COUNTIF($F$2:$G$37,"③")</f>
        <v>0</v>
      </c>
      <c r="N5" s="25">
        <f>COUNTIF($F$2:$G$37,"④")</f>
        <v>0</v>
      </c>
      <c r="O5" s="25">
        <f>COUNTIF($F$2:$G$37,"⑤")</f>
        <v>0</v>
      </c>
    </row>
    <row r="6" spans="1:15" ht="34" x14ac:dyDescent="0.45">
      <c r="A6" s="1">
        <v>5</v>
      </c>
      <c r="B6" s="2" t="s">
        <v>66</v>
      </c>
      <c r="C6" s="1" t="s">
        <v>62</v>
      </c>
      <c r="D6" s="30" t="s">
        <v>50</v>
      </c>
      <c r="E6" s="25">
        <v>6</v>
      </c>
      <c r="F6" s="25" t="s">
        <v>45</v>
      </c>
      <c r="G6" s="25" t="s">
        <v>38</v>
      </c>
      <c r="H6" s="2" t="str">
        <f t="shared" si="0"/>
        <v>[내용영역]은 물가지수 120의 의미에 관한 것, [발문 유형]은 일반형, [문항 유형]은 '개념 설명형 문제'를 적용하여 [점수] 6점, [난이도] 중 수준의 문제를 만들어줘. [정답]은 ①번이 되도록 구성해줘.</v>
      </c>
    </row>
    <row r="7" spans="1:15" ht="51" x14ac:dyDescent="0.45">
      <c r="A7" s="1">
        <v>6</v>
      </c>
      <c r="B7" s="2" t="s">
        <v>67</v>
      </c>
      <c r="C7" s="1" t="s">
        <v>62</v>
      </c>
      <c r="D7" s="30" t="s">
        <v>23</v>
      </c>
      <c r="E7" s="25">
        <v>7</v>
      </c>
      <c r="F7" s="25" t="s">
        <v>84</v>
      </c>
      <c r="G7" s="25" t="s">
        <v>38</v>
      </c>
      <c r="H7" s="2" t="str">
        <f t="shared" si="0"/>
        <v>[내용영역]은 물가상승으로 불리한 사람에 관한 것, [발문 유형]은 일반형, [문항 유형]은 '&lt;보기&gt; 나열형: 글상자 안에 ㄱ, ㄴ, ㄷ, ㄹ 4개의 명제를 나열하고 맞는 것끼리 짝지은 것을 고르는 형태'를 적용하여 [점수] 7점, [난이도] 최상 수준의 문제를 만들어줘. [정답]은 ①번이 되도록 구성해줘.</v>
      </c>
    </row>
    <row r="8" spans="1:15" ht="51" x14ac:dyDescent="0.45">
      <c r="A8" s="1">
        <v>7</v>
      </c>
      <c r="B8" s="2" t="s">
        <v>68</v>
      </c>
      <c r="C8" s="1" t="s">
        <v>62</v>
      </c>
      <c r="D8" s="30" t="s">
        <v>11</v>
      </c>
      <c r="E8" s="25">
        <v>2</v>
      </c>
      <c r="F8" s="25" t="s">
        <v>85</v>
      </c>
      <c r="G8" s="25" t="s">
        <v>38</v>
      </c>
      <c r="H8" s="2" t="str">
        <f t="shared" si="0"/>
        <v>[내용영역]은 물가상승에 대한 정부의 대책에 관한 것, [발문 유형]은 일반형, [문항 유형]은 '대화/토론형 (Dialogue/Debate): 갑, 을, 병(또는 교사와 학생)이 특정 주제에 대해 의견을 나누는 형태'를 적용하여 [점수] 2점, [난이도] 최하 수준의 문제를 만들어줘. [정답]은 ①번이 되도록 구성해줘.</v>
      </c>
    </row>
    <row r="9" spans="1:15" ht="34" x14ac:dyDescent="0.45">
      <c r="A9" s="1">
        <v>8</v>
      </c>
      <c r="B9" s="2" t="s">
        <v>69</v>
      </c>
      <c r="C9" s="1" t="s">
        <v>60</v>
      </c>
      <c r="D9" s="30" t="s">
        <v>50</v>
      </c>
      <c r="E9" s="25">
        <v>3</v>
      </c>
      <c r="F9" s="25" t="s">
        <v>47</v>
      </c>
      <c r="G9" s="25" t="s">
        <v>38</v>
      </c>
      <c r="H9" s="2" t="str">
        <f t="shared" si="0"/>
        <v>[내용영역]은 국제 거래의 특징에 관한 것, [발문 유형]은 긍정형, [문항 유형]은 '개념 설명형 문제'를 적용하여 [점수] 3점, [난이도] 하 수준의 문제를 만들어줘. [정답]은 ①번이 되도록 구성해줘.</v>
      </c>
    </row>
    <row r="10" spans="1:15" ht="51" x14ac:dyDescent="0.45">
      <c r="A10" s="1">
        <v>9</v>
      </c>
      <c r="B10" s="2" t="s">
        <v>70</v>
      </c>
      <c r="C10" s="1" t="s">
        <v>62</v>
      </c>
      <c r="D10" s="30" t="s">
        <v>25</v>
      </c>
      <c r="E10" s="25">
        <v>4</v>
      </c>
      <c r="F10" s="25" t="s">
        <v>45</v>
      </c>
      <c r="G10" s="25" t="s">
        <v>38</v>
      </c>
      <c r="H10" s="2" t="str">
        <f t="shared" si="0"/>
        <v>[내용영역]은 실업의 의미와 계산에 관한 것, [발문 유형]은 일반형, [문항 유형]은 '마인드맵/마름모 분류형: 예/아니오 질문을 따라가며 최종 도착지(A~D)에 해당하는 개념을 찾는 알고리즘 형태'를 적용하여 [점수] 4점, [난이도] 중 수준의 문제를 만들어줘. [정답]은 ①번이 되도록 구성해줘.</v>
      </c>
    </row>
    <row r="11" spans="1:15" ht="85" x14ac:dyDescent="0.45">
      <c r="A11" s="1">
        <v>10</v>
      </c>
      <c r="B11" s="2" t="s">
        <v>71</v>
      </c>
      <c r="C11" s="1" t="s">
        <v>62</v>
      </c>
      <c r="D11" s="30" t="s">
        <v>14</v>
      </c>
      <c r="E11" s="25">
        <v>5</v>
      </c>
      <c r="F11" s="25" t="s">
        <v>36</v>
      </c>
      <c r="G11" s="25" t="s">
        <v>38</v>
      </c>
      <c r="H11" s="2" t="str">
        <f t="shared" si="0"/>
        <v>[내용영역]은 실업의 종류와 대책(마찰적 실업, 계절적 실업)에 관한 것, [발문 유형]은 일반형, [문항 유형]은 '사례/스토리 제시형 (Case Study): 일상생활에서 벌어지는 구체적인 사건이나 갈등 상황을 짧은 이야기로 제시하는 형태'를 적용하여 [점수] 5점, [난이도] 상 수준의 문제를 만들어줘. [정답]은 ①번이 되도록 구성해줘.</v>
      </c>
    </row>
    <row r="12" spans="1:15" ht="68" x14ac:dyDescent="0.45">
      <c r="A12" s="1">
        <v>11</v>
      </c>
      <c r="B12" s="2" t="s">
        <v>72</v>
      </c>
      <c r="C12" s="1" t="s">
        <v>60</v>
      </c>
      <c r="D12" s="30" t="s">
        <v>14</v>
      </c>
      <c r="E12" s="25">
        <v>6</v>
      </c>
      <c r="F12" s="25" t="s">
        <v>36</v>
      </c>
      <c r="G12" s="25" t="s">
        <v>38</v>
      </c>
      <c r="H12" s="2" t="str">
        <f t="shared" si="0"/>
        <v>[내용영역]은 외화의 수요 요인 구분에 관한 것, [발문 유형]은 긍정형, [문항 유형]은 '사례/스토리 제시형 (Case Study): 일상생활에서 벌어지는 구체적인 사건이나 갈등 상황을 짧은 이야기로 제시하는 형태'를 적용하여 [점수] 6점, [난이도] 상 수준의 문제를 만들어줘. [정답]은 ①번이 되도록 구성해줘.</v>
      </c>
    </row>
    <row r="13" spans="1:15" ht="51" x14ac:dyDescent="0.45">
      <c r="A13" s="1">
        <v>12</v>
      </c>
      <c r="B13" s="2" t="s">
        <v>73</v>
      </c>
      <c r="C13" s="1" t="s">
        <v>60</v>
      </c>
      <c r="D13" s="30" t="s">
        <v>74</v>
      </c>
      <c r="E13" s="25">
        <v>7</v>
      </c>
      <c r="F13" s="25" t="s">
        <v>84</v>
      </c>
      <c r="G13" s="25" t="s">
        <v>38</v>
      </c>
      <c r="H13" s="2" t="str">
        <f t="shared" si="0"/>
        <v>[내용영역]은 환율 상승시 유리한 사람에 관한 것, [발문 유형]은 긍정형, [문항 유형]은 '만화/삽화형 (Cartoon): 풍자 만화나 두 컷짜리 상황 만화를 글로 묘사하여 제시하는 형태'를 적용하여 [점수] 7점, [난이도] 최상 수준의 문제를 만들어줘. [정답]은 ①번이 되도록 구성해줘.</v>
      </c>
    </row>
    <row r="14" spans="1:15" ht="51" x14ac:dyDescent="0.45">
      <c r="A14" s="1">
        <v>13</v>
      </c>
      <c r="B14" s="2" t="s">
        <v>75</v>
      </c>
      <c r="C14" s="1" t="s">
        <v>62</v>
      </c>
      <c r="D14" s="30" t="s">
        <v>11</v>
      </c>
      <c r="E14" s="25">
        <v>2</v>
      </c>
      <c r="F14" s="25" t="s">
        <v>85</v>
      </c>
      <c r="G14" s="25" t="s">
        <v>38</v>
      </c>
      <c r="H14" s="2" t="str">
        <f t="shared" si="0"/>
        <v>[내용영역]은 국제사회의 행위 주체에 관한 것, [발문 유형]은 일반형, [문항 유형]은 '대화/토론형 (Dialogue/Debate): 갑, 을, 병(또는 교사와 학생)이 특정 주제에 대해 의견을 나누는 형태'를 적용하여 [점수] 2점, [난이도] 최하 수준의 문제를 만들어줘. [정답]은 ①번이 되도록 구성해줘.</v>
      </c>
    </row>
    <row r="15" spans="1:15" ht="68" x14ac:dyDescent="0.45">
      <c r="A15" s="1">
        <v>14</v>
      </c>
      <c r="B15" s="2" t="s">
        <v>76</v>
      </c>
      <c r="C15" s="1" t="s">
        <v>62</v>
      </c>
      <c r="D15" s="30" t="s">
        <v>14</v>
      </c>
      <c r="E15" s="25">
        <v>3</v>
      </c>
      <c r="F15" s="25" t="s">
        <v>47</v>
      </c>
      <c r="G15" s="25" t="s">
        <v>38</v>
      </c>
      <c r="H15" s="2" t="str">
        <f t="shared" si="0"/>
        <v>[내용영역]은 안전보장이사회로 본 국제 사회의 특징에 관한 것, [발문 유형]은 일반형, [문항 유형]은 '사례/스토리 제시형 (Case Study): 일상생활에서 벌어지는 구체적인 사건이나 갈등 상황을 짧은 이야기로 제시하는 형태'를 적용하여 [점수] 3점, [난이도] 하 수준의 문제를 만들어줘. [정답]은 ①번이 되도록 구성해줘.</v>
      </c>
    </row>
    <row r="16" spans="1:15" ht="68" x14ac:dyDescent="0.45">
      <c r="A16" s="1">
        <v>15</v>
      </c>
      <c r="B16" s="2" t="s">
        <v>77</v>
      </c>
      <c r="C16" s="1" t="s">
        <v>62</v>
      </c>
      <c r="D16" s="30" t="s">
        <v>20</v>
      </c>
      <c r="E16" s="25">
        <v>4</v>
      </c>
      <c r="F16" s="25" t="s">
        <v>45</v>
      </c>
      <c r="G16" s="25" t="s">
        <v>38</v>
      </c>
      <c r="H16" s="2" t="str">
        <f t="shared" si="0"/>
        <v>[내용영역]은 국제 분쟁 지역(이란, 카스피해, 메콩강)에 관한 것, [발문 유형]은 일반형, [문항 유형]은 '지도 분석형 (Map): 세계 지도나 국가 지도를 제시하고 A, B, C 지역의 특징을 묻는 형태'를 적용하여 [점수] 4점, [난이도] 중 수준의 문제를 만들어줘. [정답]은 ①번이 되도록 구성해줘.</v>
      </c>
    </row>
    <row r="17" spans="1:8" ht="68" x14ac:dyDescent="0.45">
      <c r="A17" s="1">
        <v>16</v>
      </c>
      <c r="B17" s="2" t="s">
        <v>78</v>
      </c>
      <c r="C17" s="1" t="s">
        <v>62</v>
      </c>
      <c r="D17" s="30" t="s">
        <v>23</v>
      </c>
      <c r="E17" s="25">
        <v>7</v>
      </c>
      <c r="F17" s="25" t="s">
        <v>84</v>
      </c>
      <c r="G17" s="25" t="s">
        <v>38</v>
      </c>
      <c r="H17" s="2" t="str">
        <f t="shared" si="0"/>
        <v>[내용영역]은 우리나라가 직면한 국제 문제 유형에 관한 것, [발문 유형]은 일반형, [문항 유형]은 '&lt;보기&gt; 나열형: 글상자 안에 ㄱ, ㄴ, ㄷ, ㄹ 4개의 명제를 나열하고 맞는 것끼리 짝지은 것을 고르는 형태'를 적용하여 [점수] 7점, [난이도] 최상 수준의 문제를 만들어줘. [정답]은 ①번이 되도록 구성해줘.</v>
      </c>
    </row>
    <row r="18" spans="1:8" ht="68" x14ac:dyDescent="0.45">
      <c r="A18" s="1">
        <v>17</v>
      </c>
      <c r="B18" s="2" t="s">
        <v>79</v>
      </c>
      <c r="C18" s="1" t="s">
        <v>62</v>
      </c>
      <c r="D18" s="30" t="s">
        <v>80</v>
      </c>
      <c r="E18" s="25">
        <v>2</v>
      </c>
      <c r="F18" s="25" t="s">
        <v>85</v>
      </c>
      <c r="G18" s="25" t="s">
        <v>38</v>
      </c>
      <c r="H18" s="2" t="str">
        <f t="shared" si="0"/>
        <v>[내용영역]은 우리나라가 직면한 국제 문제 대응 방안에 관한 것, [발문 유형]은 일반형, [문항 유형]은 '부정형 발문 문제'를 적용하여 [점수] 2점, [난이도] 최하 수준의 문제를 만들어줘. [정답]은 ①번이 되도록 구성해줘.</v>
      </c>
    </row>
    <row r="19" spans="1:8" ht="34" x14ac:dyDescent="0.45">
      <c r="A19" s="1">
        <v>18</v>
      </c>
      <c r="B19" s="2" t="s">
        <v>81</v>
      </c>
      <c r="C19" s="1" t="s">
        <v>62</v>
      </c>
      <c r="D19" s="30" t="s">
        <v>50</v>
      </c>
      <c r="E19" s="25">
        <v>3</v>
      </c>
      <c r="F19" s="25" t="s">
        <v>47</v>
      </c>
      <c r="G19" s="25" t="s">
        <v>38</v>
      </c>
      <c r="H19" s="2" t="str">
        <f t="shared" si="0"/>
        <v>[내용영역]은 사회 변동에 관한 것, [발문 유형]은 일반형, [문항 유형]은 '개념 설명형 문제'를 적용하여 [점수] 3점, [난이도] 하 수준의 문제를 만들어줘. [정답]은 ①번이 되도록 구성해줘.</v>
      </c>
    </row>
    <row r="20" spans="1:8" ht="68" x14ac:dyDescent="0.45">
      <c r="A20" s="1">
        <v>19</v>
      </c>
      <c r="B20" s="2" t="s">
        <v>82</v>
      </c>
      <c r="C20" s="1" t="s">
        <v>62</v>
      </c>
      <c r="D20" s="30" t="s">
        <v>14</v>
      </c>
      <c r="E20" s="25">
        <v>4</v>
      </c>
      <c r="F20" s="25" t="s">
        <v>45</v>
      </c>
      <c r="G20" s="25" t="s">
        <v>38</v>
      </c>
      <c r="H20" s="2" t="str">
        <f t="shared" si="0"/>
        <v>[내용영역]은 사회 변동의 양상(다문화적 변화)에 관한 것, [발문 유형]은 일반형, [문항 유형]은 '사례/스토리 제시형 (Case Study): 일상생활에서 벌어지는 구체적인 사건이나 갈등 상황을 짧은 이야기로 제시하는 형태'를 적용하여 [점수] 4점, [난이도] 중 수준의 문제를 만들어줘. [정답]은 ①번이 되도록 구성해줘.</v>
      </c>
    </row>
    <row r="21" spans="1:8" ht="51" x14ac:dyDescent="0.45">
      <c r="A21" s="1">
        <v>20</v>
      </c>
      <c r="B21" s="2" t="s">
        <v>83</v>
      </c>
      <c r="C21" s="1" t="s">
        <v>62</v>
      </c>
      <c r="D21" s="30" t="s">
        <v>86</v>
      </c>
      <c r="E21" s="25">
        <v>5</v>
      </c>
      <c r="F21" s="25" t="s">
        <v>36</v>
      </c>
      <c r="G21" s="25" t="s">
        <v>38</v>
      </c>
      <c r="H21" s="2" t="str">
        <f t="shared" si="0"/>
        <v>[내용영역]은 현대의 사회문제에 관한 것, [발문 유형]은 일반형, [문항 유형]은 '시각 자료를 사용하며, 마크다운 표나 이미지 생성 프롬프트가 필요한 형태'를 적용하여 [점수] 5점, [난이도] 상 수준의 문제를 만들어줘. [정답]은 ①번이 되도록 구성해줘.</v>
      </c>
    </row>
    <row r="22" spans="1:8" x14ac:dyDescent="0.45">
      <c r="A22" s="1" t="s">
        <v>31</v>
      </c>
      <c r="B22" s="1"/>
      <c r="C22" s="1"/>
      <c r="D22" s="30"/>
      <c r="E22" s="25"/>
      <c r="F22" s="25" t="s">
        <v>45</v>
      </c>
      <c r="G22" s="25"/>
      <c r="H22" s="2"/>
    </row>
    <row r="23" spans="1:8" x14ac:dyDescent="0.45">
      <c r="A23" s="1" t="s">
        <v>32</v>
      </c>
      <c r="B23" s="1"/>
      <c r="C23" s="1"/>
      <c r="D23" s="30"/>
      <c r="E23" s="25"/>
      <c r="F23" s="25" t="s">
        <v>45</v>
      </c>
      <c r="G23" s="25"/>
      <c r="H23" s="2"/>
    </row>
    <row r="24" spans="1:8" x14ac:dyDescent="0.45">
      <c r="A24" s="1" t="s">
        <v>33</v>
      </c>
      <c r="B24" s="1"/>
      <c r="C24" s="1"/>
      <c r="D24" s="30"/>
      <c r="E24" s="25"/>
      <c r="F24" s="25" t="s">
        <v>45</v>
      </c>
      <c r="G24" s="25"/>
      <c r="H24" s="2"/>
    </row>
    <row r="25" spans="1:8" x14ac:dyDescent="0.45">
      <c r="A25" s="1" t="s">
        <v>34</v>
      </c>
      <c r="B25" s="1"/>
      <c r="C25" s="1"/>
      <c r="D25" s="30"/>
      <c r="E25" s="25"/>
      <c r="F25" s="25" t="s">
        <v>45</v>
      </c>
      <c r="G25" s="25"/>
      <c r="H25" s="2"/>
    </row>
    <row r="26" spans="1:8" x14ac:dyDescent="0.45">
      <c r="A26" s="1" t="s">
        <v>35</v>
      </c>
      <c r="B26" s="1"/>
      <c r="C26" s="1"/>
      <c r="D26" s="30"/>
      <c r="E26" s="25"/>
      <c r="F26" s="25" t="s">
        <v>45</v>
      </c>
      <c r="G26" s="25"/>
      <c r="H26" s="2"/>
    </row>
    <row r="27" spans="1:8" x14ac:dyDescent="0.45">
      <c r="A27" s="1"/>
      <c r="B27" s="1"/>
      <c r="C27" s="1"/>
      <c r="D27" s="30"/>
      <c r="E27" s="25"/>
      <c r="F27" s="25"/>
      <c r="G27" s="25"/>
      <c r="H27" s="2"/>
    </row>
    <row r="28" spans="1:8" x14ac:dyDescent="0.45">
      <c r="A28" s="1"/>
      <c r="B28" s="1"/>
      <c r="C28" s="1"/>
      <c r="D28" s="30"/>
      <c r="E28" s="25"/>
      <c r="F28" s="25"/>
      <c r="G28" s="25"/>
      <c r="H28" s="2"/>
    </row>
    <row r="29" spans="1:8" x14ac:dyDescent="0.45">
      <c r="A29" s="1"/>
      <c r="B29" s="1"/>
      <c r="C29" s="1"/>
      <c r="D29" s="30"/>
      <c r="E29" s="25"/>
      <c r="F29" s="25"/>
      <c r="G29" s="25"/>
      <c r="H29" s="2"/>
    </row>
    <row r="30" spans="1:8" x14ac:dyDescent="0.45">
      <c r="A30" s="1"/>
      <c r="B30" s="1"/>
      <c r="C30" s="1"/>
      <c r="D30" s="30"/>
      <c r="E30" s="25"/>
      <c r="F30" s="25"/>
      <c r="G30" s="25"/>
      <c r="H30" s="2"/>
    </row>
    <row r="31" spans="1:8" x14ac:dyDescent="0.45">
      <c r="A31" s="1"/>
      <c r="B31" s="1"/>
      <c r="C31" s="1"/>
      <c r="D31" s="30"/>
      <c r="E31" s="25"/>
      <c r="F31" s="25"/>
      <c r="G31" s="25"/>
      <c r="H31" s="2"/>
    </row>
    <row r="32" spans="1:8" x14ac:dyDescent="0.45">
      <c r="A32" s="1"/>
      <c r="B32" s="1"/>
      <c r="C32" s="1"/>
      <c r="D32" s="30"/>
      <c r="E32" s="25"/>
      <c r="F32" s="25"/>
      <c r="G32" s="25"/>
      <c r="H32" s="2"/>
    </row>
    <row r="33" spans="1:8" x14ac:dyDescent="0.45">
      <c r="A33" s="1"/>
      <c r="B33" s="1"/>
      <c r="C33" s="1"/>
      <c r="D33" s="30"/>
      <c r="E33" s="25"/>
      <c r="F33" s="25"/>
      <c r="G33" s="25"/>
      <c r="H33" s="2"/>
    </row>
    <row r="34" spans="1:8" x14ac:dyDescent="0.45">
      <c r="A34" s="1"/>
      <c r="B34" s="1"/>
      <c r="C34" s="1"/>
      <c r="D34" s="30"/>
      <c r="E34" s="25"/>
      <c r="F34" s="25"/>
      <c r="G34" s="25"/>
      <c r="H34" s="2"/>
    </row>
    <row r="35" spans="1:8" x14ac:dyDescent="0.45">
      <c r="A35" s="1"/>
      <c r="B35" s="1"/>
      <c r="C35" s="1"/>
      <c r="D35" s="30"/>
      <c r="E35" s="25"/>
      <c r="F35" s="25"/>
      <c r="G35" s="25"/>
      <c r="H35" s="2"/>
    </row>
    <row r="36" spans="1:8" x14ac:dyDescent="0.45">
      <c r="A36" s="1"/>
      <c r="B36" s="1"/>
      <c r="C36" s="1"/>
      <c r="D36" s="30"/>
      <c r="E36" s="25"/>
      <c r="F36" s="25"/>
      <c r="G36" s="25"/>
      <c r="H36" s="2"/>
    </row>
    <row r="37" spans="1:8" x14ac:dyDescent="0.45">
      <c r="A37" s="1"/>
      <c r="B37" s="1"/>
      <c r="C37" s="1"/>
      <c r="D37" s="30"/>
      <c r="E37" s="25"/>
      <c r="F37" s="25"/>
      <c r="G37" s="25"/>
      <c r="H37" s="2"/>
    </row>
  </sheetData>
  <phoneticPr fontId="5"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F9CCB693-86CA-4174-B40F-DA771459969E}">
          <x14:formula1>
            <xm:f>'문항 형태'!$A$2:$A$19</xm:f>
          </x14:formula1>
          <xm:sqref>D22:D37 D2:D21</xm:sqref>
        </x14:dataValidation>
        <x14:dataValidation type="list" allowBlank="1" showInputMessage="1" showErrorMessage="1" xr:uid="{3706B1B9-074F-4F0D-A3C7-0E0D0C58F77A}">
          <x14:formula1>
            <xm:f>'문항 형태'!$B$2:$B$6</xm:f>
          </x14:formula1>
          <xm:sqref>G2:G37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문제생성</vt:lpstr>
      <vt:lpstr>문항 형태</vt:lpstr>
      <vt:lpstr>추가프롬프트만들기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윤택 임</dc:creator>
  <cp:lastModifiedBy>임 윤택</cp:lastModifiedBy>
  <dcterms:created xsi:type="dcterms:W3CDTF">2026-06-03T13:27:35Z</dcterms:created>
  <dcterms:modified xsi:type="dcterms:W3CDTF">2026-07-24T06:58:32Z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Id">
    <vt:lpwstr>95b37cbe-3a03-4d00-8239-6fd63a2b0fb2</vt:lpwstr>
  </property>
</Properties>
</file>